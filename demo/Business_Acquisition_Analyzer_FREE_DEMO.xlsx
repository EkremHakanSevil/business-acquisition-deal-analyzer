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eal Inputs" sheetId="2" state="visible" r:id="rId4"/>
    <sheet name="SDE Normalization" sheetId="3" state="visible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<sst xmlns="http://schemas.openxmlformats.org/spreadsheetml/2006/main" count="135" uniqueCount="132">
  <si>
    <t xml:space="preserve">Business Acquisition Analyzer (Free Demo)</t>
  </si>
  <si>
    <t xml:space="preserve">FREE DEMO by LaneLedger Co.  ·  Microsoft Excel and Google Sheets</t>
  </si>
  <si>
    <t xml:space="preserve">Find what a small business really earns, what it is worth, and the most its cash flow can support.</t>
  </si>
  <si>
    <t xml:space="preserve">What this free demo includes</t>
  </si>
  <si>
    <t xml:space="preserve">•  SDE Normalization: 3 years of financials with owner add-backs and deductions</t>
  </si>
  <si>
    <t xml:space="preserve">•  Valuation: SDE multiple value range, asking and offer multiples</t>
  </si>
  <si>
    <t xml:space="preserve">•  Maximum supportable price at your target DSCR (SBA-style loan)</t>
  </si>
  <si>
    <t xml:space="preserve">The full version adds</t>
  </si>
  <si>
    <t xml:space="preserve">•  Financing: sources &amp; uses, loan and seller note payments, DSCR and instant lender checks</t>
  </si>
  <si>
    <t xml:space="preserve">•  Offer Scenarios: compare 3 deal structures side by side</t>
  </si>
  <si>
    <t xml:space="preserve">•  10-Year Projection: owner cash flow, debt paydown, equity at exit and IRR</t>
  </si>
  <si>
    <t xml:space="preserve">•  One-page Deal Summary with pass / fail verdict, and a 31-item Due Diligence checklist</t>
  </si>
  <si>
    <t xml:space="preserve">Get the full version on Etsy →</t>
  </si>
  <si>
    <t xml:space="preserve">Colour key</t>
  </si>
  <si>
    <t xml:space="preserve">Pale yellow cells are the cells you fill in. Grey cells calculate automatically.</t>
  </si>
  <si>
    <t xml:space="preserve">This demo is free to use in your own business. Please don't resell it.</t>
  </si>
  <si>
    <t xml:space="preserve">Deal Inputs</t>
  </si>
  <si>
    <t xml:space="preserve">The deal you are evaluating. Every other tab reads from here.</t>
  </si>
  <si>
    <t xml:space="preserve">The business</t>
  </si>
  <si>
    <t xml:space="preserve">Business name</t>
  </si>
  <si>
    <t xml:space="preserve">Example: Coastal HVAC Services</t>
  </si>
  <si>
    <t xml:space="preserve">Industry</t>
  </si>
  <si>
    <t xml:space="preserve">HVAC / home services</t>
  </si>
  <si>
    <t xml:space="preserve">Location</t>
  </si>
  <si>
    <t xml:space="preserve">Tampa, FL</t>
  </si>
  <si>
    <t xml:space="preserve">Price</t>
  </si>
  <si>
    <t xml:space="preserve">Asking price</t>
  </si>
  <si>
    <t xml:space="preserve">Your offer price (base case)</t>
  </si>
  <si>
    <t xml:space="preserve">Used for Financing, Projection and Deal Summary.</t>
  </si>
  <si>
    <t xml:space="preserve">Working capital needed at closing</t>
  </si>
  <si>
    <t xml:space="preserve">Cash the business needs on day one (inventory, receivables float).</t>
  </si>
  <si>
    <t xml:space="preserve">Closing costs (legal, QoE, appraisal, etc.)</t>
  </si>
  <si>
    <t xml:space="preserve">Lender &amp; guarantee fees (% of loan, estimate)</t>
  </si>
  <si>
    <t xml:space="preserve">Your estimate. Ask your lender for the actual fee schedule.</t>
  </si>
  <si>
    <t xml:space="preserve">Financing</t>
  </si>
  <si>
    <t xml:space="preserve">Buyer cash injection (% of price + WC + closing)</t>
  </si>
  <si>
    <t xml:space="preserve">Minimum cash injection the lender requires</t>
  </si>
  <si>
    <t xml:space="preserve">Often around 10% for SBA 7(a) acquisitions. Confirm with your lender.</t>
  </si>
  <si>
    <t xml:space="preserve">Seller note (% of price)</t>
  </si>
  <si>
    <t xml:space="preserve">Seller note interest rate</t>
  </si>
  <si>
    <t xml:space="preserve">Seller note repayment term (years)</t>
  </si>
  <si>
    <t xml:space="preserve">Seller note standby (years with no payments)</t>
  </si>
  <si>
    <t xml:space="preserve">Payments start after the standby period. Some lenders require full standby.</t>
  </si>
  <si>
    <t xml:space="preserve">Bank / SBA loan interest rate</t>
  </si>
  <si>
    <t xml:space="preserve">Your estimate. Rates change.</t>
  </si>
  <si>
    <t xml:space="preserve">Bank / SBA loan term (years)</t>
  </si>
  <si>
    <t xml:space="preserve">Target DSCR</t>
  </si>
  <si>
    <t xml:space="preserve">Many lenders look for 1.25x or higher. Some want more.</t>
  </si>
  <si>
    <t xml:space="preserve">Operating assumptions</t>
  </si>
  <si>
    <t xml:space="preserve">Your salary as the new owner (market rate)</t>
  </si>
  <si>
    <t xml:space="preserve">What you would pay a manager to run it. Subtracted from SDE before debt service.</t>
  </si>
  <si>
    <t xml:space="preserve">Annual capex / equipment reserve</t>
  </si>
  <si>
    <t xml:space="preserve">Revenue growth per year (projection)</t>
  </si>
  <si>
    <t xml:space="preserve">SDE margin change per year (projection)</t>
  </si>
  <si>
    <t xml:space="preserve">e.g. 0.5% if you expect efficiency gains, -0.5% if margins will slip.</t>
  </si>
  <si>
    <t xml:space="preserve">Exit multiple of SDE in year 10</t>
  </si>
  <si>
    <t xml:space="preserve">Owner salary increase per year</t>
  </si>
  <si>
    <t xml:space="preserve">SDE Normalization</t>
  </si>
  <si>
    <t xml:space="preserve">Turn reported profit into what the business really earns for an owner. Enter the last 3 years.</t>
  </si>
  <si>
    <t xml:space="preserve">Year 1 (oldest)</t>
  </si>
  <si>
    <t xml:space="preserve">Year 2</t>
  </si>
  <si>
    <t xml:space="preserve">Year 3 (latest)</t>
  </si>
  <si>
    <t xml:space="preserve">Fiscal year</t>
  </si>
  <si>
    <t xml:space="preserve">2023</t>
  </si>
  <si>
    <t xml:space="preserve">2024</t>
  </si>
  <si>
    <t xml:space="preserve">2025</t>
  </si>
  <si>
    <t xml:space="preserve">Revenue</t>
  </si>
  <si>
    <t xml:space="preserve">Cost of goods sold</t>
  </si>
  <si>
    <t xml:space="preserve">Gross profit</t>
  </si>
  <si>
    <t xml:space="preserve">Gross margin</t>
  </si>
  <si>
    <t xml:space="preserve">Operating expenses (all, incl. owner pay)</t>
  </si>
  <si>
    <t xml:space="preserve">Net income before tax (reported)</t>
  </si>
  <si>
    <t xml:space="preserve">Add-backs (owner &amp; non-recurring items)</t>
  </si>
  <si>
    <t xml:space="preserve">Owner's salary / wages</t>
  </si>
  <si>
    <t xml:space="preserve">All pay to the selling owner(s).</t>
  </si>
  <si>
    <t xml:space="preserve">Owner payroll taxes &amp; benefits</t>
  </si>
  <si>
    <t xml:space="preserve">Owner health / life insurance</t>
  </si>
  <si>
    <t xml:space="preserve">Interest expense</t>
  </si>
  <si>
    <t xml:space="preserve">Existing debt is usually paid off at closing.</t>
  </si>
  <si>
    <t xml:space="preserve">Depreciation &amp; amortization</t>
  </si>
  <si>
    <t xml:space="preserve">Non-cash. Your capex reserve covers real replacement spending.</t>
  </si>
  <si>
    <t xml:space="preserve">One-time / non-recurring expenses</t>
  </si>
  <si>
    <t xml:space="preserve">e.g. a lawsuit, a one-off rebrand. Must be documented.</t>
  </si>
  <si>
    <t xml:space="preserve">Personal expenses run through the business</t>
  </si>
  <si>
    <t xml:space="preserve">Personal vehicle, phone, travel. Be skeptical and ask for proof.</t>
  </si>
  <si>
    <t xml:space="preserve">Other add-back (describe in notes)</t>
  </si>
  <si>
    <t xml:space="preserve">Deductions (costs the reported numbers hide)</t>
  </si>
  <si>
    <t xml:space="preserve">Rent adjustment to market (if owner owns the building)</t>
  </si>
  <si>
    <t xml:space="preserve">If the seller pays below-market rent to themself, enter the extra rent you will pay.</t>
  </si>
  <si>
    <t xml:space="preserve">Other deduction (describe in notes)</t>
  </si>
  <si>
    <t xml:space="preserve">SDE (Seller's Discretionary Earnings)</t>
  </si>
  <si>
    <t xml:space="preserve">SDE margin</t>
  </si>
  <si>
    <t xml:space="preserve">EBITDA (SDE minus your market salary)</t>
  </si>
  <si>
    <t xml:space="preserve">SDE used for valuation and financing</t>
  </si>
  <si>
    <t xml:space="preserve">Weighted average (latest year counts most: 1-2-3)</t>
  </si>
  <si>
    <t xml:space="preserve">Lenders and brokers often weight recent years more. A falling trend is a warning sign.</t>
  </si>
  <si>
    <t xml:space="preserve">Simple 3-year average</t>
  </si>
  <si>
    <t xml:space="preserve">Latest year</t>
  </si>
  <si>
    <t xml:space="preserve">Choose the basis</t>
  </si>
  <si>
    <t xml:space="preserve">Weighted average</t>
  </si>
  <si>
    <t xml:space="preserve">Pick the basis you are comfortable defending to a lender.</t>
  </si>
  <si>
    <t xml:space="preserve">SELECTED SDE</t>
  </si>
  <si>
    <t xml:space="preserve">Selected SDE margin (on latest revenue)</t>
  </si>
  <si>
    <t xml:space="preserve">Revenue trend (Year 1 to Year 3, per year)</t>
  </si>
  <si>
    <t xml:space="preserve">Valuation</t>
  </si>
  <si>
    <t xml:space="preserve">What the business is worth on a multiple of SDE, and the most its cash flow can support.</t>
  </si>
  <si>
    <t xml:space="preserve">Free demo · Get the full analyzer on Etsy →</t>
  </si>
  <si>
    <t xml:space="preserve">Multiples</t>
  </si>
  <si>
    <t xml:space="preserve">Selected SDE</t>
  </si>
  <si>
    <t xml:space="preserve">Your offer</t>
  </si>
  <si>
    <t xml:space="preserve">Asking price ÷ SDE</t>
  </si>
  <si>
    <t xml:space="preserve">Your offer ÷ SDE</t>
  </si>
  <si>
    <t xml:space="preserve">Asking price ÷ latest revenue</t>
  </si>
  <si>
    <t xml:space="preserve">Your offer ÷ EBITDA (SDE − your salary)</t>
  </si>
  <si>
    <t xml:space="preserve">Value range from SDE multiples</t>
  </si>
  <si>
    <t xml:space="preserve">Low</t>
  </si>
  <si>
    <t xml:space="preserve">Mid</t>
  </si>
  <si>
    <t xml:space="preserve">High</t>
  </si>
  <si>
    <t xml:space="preserve">SDE multiple (your research)</t>
  </si>
  <si>
    <t xml:space="preserve">Example range only. Research recent sales in your industry and size (brokers, BizBuySell, comps).</t>
  </si>
  <si>
    <t xml:space="preserve">Implied value</t>
  </si>
  <si>
    <t xml:space="preserve">Your offer vs implied value</t>
  </si>
  <si>
    <t xml:space="preserve">Where your offer sits</t>
  </si>
  <si>
    <t xml:space="preserve">Maximum price the cash flow can support</t>
  </si>
  <si>
    <t xml:space="preserve">Cash flow available for debt (SDE − your salary − capex)</t>
  </si>
  <si>
    <t xml:space="preserve">This is the money left to pay lenders after you pay yourself and keep equipment running.</t>
  </si>
  <si>
    <t xml:space="preserve">Maximum annual debt service at target DSCR</t>
  </si>
  <si>
    <t xml:space="preserve">Maximum loan that payment supports</t>
  </si>
  <si>
    <t xml:space="preserve">MAXIMUM SUPPORTABLE PRICE</t>
  </si>
  <si>
    <t xml:space="preserve">Assumes your cash injection % and seller note % from Deal Inputs, with seller</t>
  </si>
  <si>
    <t xml:space="preserve">Your offer vs maximum supportable price</t>
  </si>
  <si>
    <t xml:space="preserve">note payments on standby in the early years. Excludes taxes.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</si>
</sst>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[RED]&quot;-$&quot;#,##0;\-"/>
    <numFmt numFmtId="166" formatCode="0.0%;[RED]\-0.0%;\-"/>
    <numFmt numFmtId="167" formatCode="0"/>
    <numFmt numFmtId="168" formatCode="0.00\x;[RED]\-0.00\x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A"/>
      <name val="Arial"/>
      <family val="0"/>
      <charset val="1"/>
    </font>
    <font>
      <i val="true"/>
      <sz val="10"/>
      <color rgb="FF5A677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b val="true"/>
      <u val="single"/>
      <sz val="12"/>
      <color rgb="FF1A5FB4"/>
      <name val="Arial"/>
      <family val="0"/>
      <charset val="1"/>
    </font>
    <font>
      <sz val="10"/>
      <color rgb="FF1A3D8F"/>
      <name val="Arial"/>
      <family val="0"/>
      <charset val="1"/>
    </font>
    <font>
      <i val="true"/>
      <sz val="9"/>
      <color rgb="FF5A67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u val="single"/>
      <sz val="10"/>
      <color rgb="FF1A5FB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D6"/>
        <bgColor rgb="FFFDECEA"/>
      </patternFill>
    </fill>
    <fill>
      <patternFill patternType="solid">
        <fgColor rgb="FF1F4E5A"/>
        <bgColor rgb="FF1A3D8F"/>
      </patternFill>
    </fill>
    <fill>
      <patternFill patternType="solid">
        <fgColor rgb="FFF4F5F6"/>
        <bgColor rgb="FFFDECEA"/>
      </patternFill>
    </fill>
    <fill>
      <patternFill patternType="solid">
        <fgColor rgb="FFE3EEF0"/>
        <bgColor rgb="FFDF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DD"/>
      </left>
      <right style="thin">
        <color rgb="FFD5DADD"/>
      </right>
      <top style="thin">
        <color rgb="FFD5DADD"/>
      </top>
      <bottom style="thin">
        <color rgb="FFD5DA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7B3A"/>
        <sz val="10"/>
      </font>
      <fill>
        <patternFill>
          <bgColor rgb="FFDFF0E3"/>
        </patternFill>
      </fill>
    </dxf>
    <dxf>
      <font>
        <name val="Arial"/>
        <charset val="1"/>
        <family val="0"/>
        <b val="1"/>
        <color rgb="FFC0392B"/>
        <sz val="10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8A6D1A"/>
        <sz val="10"/>
      </font>
      <fill>
        <patternFill>
          <bgColor rgb="FFFFF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A"/>
      <rgbColor rgb="FF000080"/>
      <rgbColor rgb="FF8A6D1A"/>
      <rgbColor rgb="FF800080"/>
      <rgbColor rgb="FF008080"/>
      <rgbColor rgb="FF9FC3CB"/>
      <rgbColor rgb="FF808080"/>
      <rgbColor rgb="FF9999FF"/>
      <rgbColor rgb="FF993366"/>
      <rgbColor rgb="FFFFF6D6"/>
      <rgbColor rgb="FFE3EEF0"/>
      <rgbColor rgb="FF660066"/>
      <rgbColor rgb="FFFF8080"/>
      <rgbColor rgb="FF1A5FB4"/>
      <rgbColor rgb="FFD5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5F6"/>
      <rgbColor rgb="FFDFF0E3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A441"/>
      <rgbColor rgb="FFFF6600"/>
      <rgbColor rgb="FF5A6770"/>
      <rgbColor rgb="FF969696"/>
      <rgbColor rgb="FF1F4E5A"/>
      <rgbColor rgb="FF339966"/>
      <rgbColor rgb="FF003300"/>
      <rgbColor rgb="FF333300"/>
      <rgbColor rgb="FFC0392B"/>
      <rgbColor rgb="FF993366"/>
      <rgbColor rgb="FF1A3D8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2388755/business-acquisition-analyzer-buy-a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2388755/business-acquisition-analyzer-buy-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4"/>
  </cols>
  <sheetData>
    <row r="1" customFormat="false" ht="30" hidden="false" customHeight="true" outlineLevel="0" collapsed="false">
      <c r="A1" s="2"/>
      <c r="B1" s="3" t="s">
        <v>0</v>
      </c>
    </row>
    <row r="2" customFormat="false" ht="15" hidden="false" customHeight="true" outlineLevel="0" collapsed="false">
      <c r="A2" s="2"/>
      <c r="B2" s="4" t="s">
        <v>1</v>
      </c>
    </row>
    <row r="3" customFormat="false" ht="15" hidden="false" customHeight="false" outlineLevel="0" collapsed="false">
      <c r="A3" s="2"/>
      <c r="B3" s="2"/>
    </row>
    <row r="4" customFormat="false" ht="21.75" hidden="false" customHeight="true" outlineLevel="0" collapsed="false">
      <c r="A4" s="2"/>
      <c r="B4" s="5" t="s">
        <v>2</v>
      </c>
    </row>
    <row r="5" customFormat="false" ht="15" hidden="false" customHeight="true" outlineLevel="0" collapsed="false">
      <c r="A5" s="2"/>
      <c r="B5" s="5"/>
    </row>
    <row r="6" customFormat="false" ht="15" hidden="false" customHeight="true" outlineLevel="0" collapsed="false">
      <c r="A6" s="2"/>
      <c r="B6" s="6" t="s">
        <v>3</v>
      </c>
    </row>
    <row r="7" customFormat="false" ht="15" hidden="false" customHeight="true" outlineLevel="0" collapsed="false">
      <c r="A7" s="2"/>
      <c r="B7" s="5" t="s">
        <v>4</v>
      </c>
    </row>
    <row r="8" customFormat="false" ht="21.75" hidden="false" customHeight="true" outlineLevel="0" collapsed="false">
      <c r="A8" s="2"/>
      <c r="B8" s="5" t="s">
        <v>5</v>
      </c>
    </row>
    <row r="9" customFormat="false" ht="15" hidden="false" customHeight="true" outlineLevel="0" collapsed="false">
      <c r="A9" s="2"/>
      <c r="B9" s="5" t="s">
        <v>6</v>
      </c>
    </row>
    <row r="10" customFormat="false" ht="15" hidden="false" customHeight="true" outlineLevel="0" collapsed="false">
      <c r="A10" s="2"/>
      <c r="B10" s="5"/>
    </row>
    <row r="11" customFormat="false" ht="15" hidden="false" customHeight="true" outlineLevel="0" collapsed="false">
      <c r="A11" s="2"/>
      <c r="B11" s="6" t="s">
        <v>7</v>
      </c>
    </row>
    <row r="12" customFormat="false" ht="15" hidden="false" customHeight="true" outlineLevel="0" collapsed="false">
      <c r="A12" s="2"/>
      <c r="B12" s="5" t="s">
        <v>8</v>
      </c>
    </row>
    <row r="13" customFormat="false" ht="15" hidden="false" customHeight="true" outlineLevel="0" collapsed="false">
      <c r="A13" s="2"/>
      <c r="B13" s="5" t="s">
        <v>9</v>
      </c>
    </row>
    <row r="14" customFormat="false" ht="15" hidden="false" customHeight="true" outlineLevel="0" collapsed="false">
      <c r="A14" s="2"/>
      <c r="B14" s="5" t="s">
        <v>10</v>
      </c>
    </row>
    <row r="15" customFormat="false" ht="15" hidden="false" customHeight="true" outlineLevel="0" collapsed="false">
      <c r="A15" s="2"/>
      <c r="B15" s="5" t="s">
        <v>11</v>
      </c>
    </row>
    <row r="16" customFormat="false" ht="15" hidden="false" customHeight="true" outlineLevel="0" collapsed="false">
      <c r="A16" s="2"/>
      <c r="B16" s="5"/>
    </row>
    <row r="17" customFormat="false" ht="15" hidden="false" customHeight="true" outlineLevel="0" collapsed="false">
      <c r="A17" s="2"/>
      <c r="B17" s="7" t="s">
        <v>12</v>
      </c>
    </row>
    <row r="18" customFormat="false" ht="21.75" hidden="false" customHeight="true" outlineLevel="0" collapsed="false">
      <c r="A18" s="2"/>
      <c r="B18" s="6"/>
    </row>
    <row r="19" customFormat="false" ht="15" hidden="false" customHeight="true" outlineLevel="0" collapsed="false">
      <c r="A19" s="2"/>
      <c r="B19" s="6" t="s">
        <v>13</v>
      </c>
    </row>
    <row r="20" customFormat="false" ht="15" hidden="false" customHeight="true" outlineLevel="0" collapsed="false">
      <c r="A20" s="2"/>
      <c r="B20" s="8" t="s">
        <v>14</v>
      </c>
    </row>
    <row r="21" customFormat="false" ht="15" hidden="false" customHeight="true" outlineLevel="0" collapsed="false">
      <c r="A21" s="2"/>
      <c r="B21" s="5"/>
    </row>
    <row r="22" customFormat="false" ht="15" hidden="false" customHeight="true" outlineLevel="0" collapsed="false">
      <c r="A22" s="2"/>
      <c r="B22" s="5" t="s">
        <v>15</v>
      </c>
    </row>
    <row r="23" customFormat="false" ht="21.75" hidden="false" customHeight="true" outlineLevel="0" collapsed="false">
      <c r="A23" s="2"/>
      <c r="B23" s="6"/>
    </row>
    <row r="24" customFormat="false" ht="15" hidden="false" customHeight="true" outlineLevel="0" collapsed="false">
      <c r="A24" s="2"/>
      <c r="B24" s="5"/>
    </row>
    <row r="25" customFormat="false" ht="15" hidden="false" customHeight="true" outlineLevel="0" collapsed="false">
      <c r="A25" s="2"/>
      <c r="B25" s="5"/>
    </row>
    <row r="26" customFormat="false" ht="15" hidden="false" customHeight="true" outlineLevel="0" collapsed="false">
      <c r="A26" s="2"/>
      <c r="B26" s="5"/>
    </row>
    <row r="27" customFormat="false" ht="21.75" hidden="false" customHeight="true" outlineLevel="0" collapsed="false">
      <c r="A27" s="2"/>
      <c r="B27" s="6"/>
    </row>
    <row r="28" customFormat="false" ht="15" hidden="false" customHeight="true" outlineLevel="0" collapsed="false">
      <c r="A28" s="2"/>
      <c r="B28" s="5"/>
    </row>
    <row r="29" customFormat="false" ht="15" hidden="false" customHeight="true" outlineLevel="0" collapsed="false">
      <c r="A29" s="2"/>
      <c r="B29" s="5"/>
    </row>
    <row r="30" customFormat="false" ht="15" hidden="false" customHeight="true" outlineLevel="0" collapsed="false">
      <c r="A30" s="2"/>
      <c r="B30" s="5"/>
    </row>
    <row r="31" customFormat="false" ht="15" hidden="false" customHeight="true" outlineLevel="0" collapsed="false">
      <c r="A31" s="2"/>
      <c r="B31" s="5"/>
    </row>
  </sheetData>
  <hyperlinks>
    <hyperlink ref="B17" r:id="rId1" display="Get the full version on Etsy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3" min="3" style="1" width="4"/>
    <col collapsed="false" customWidth="true" hidden="false" outlineLevel="0" max="4" min="4" style="1" width="62"/>
  </cols>
  <sheetData>
    <row r="1" customFormat="false" ht="30" hidden="false" customHeight="true" outlineLevel="0" collapsed="false">
      <c r="A1" s="9" t="s">
        <v>16</v>
      </c>
    </row>
    <row r="2" customFormat="false" ht="15" hidden="false" customHeight="true" outlineLevel="0" collapsed="false">
      <c r="A2" s="10" t="s">
        <v>17</v>
      </c>
    </row>
    <row r="4" customFormat="false" ht="15" hidden="false" customHeight="true" outlineLevel="0" collapsed="false">
      <c r="A4" s="11" t="s">
        <v>18</v>
      </c>
    </row>
    <row r="5" customFormat="false" ht="15" hidden="false" customHeight="true" outlineLevel="0" collapsed="false">
      <c r="A5" s="12" t="s">
        <v>19</v>
      </c>
      <c r="B5" s="13" t="s">
        <v>20</v>
      </c>
    </row>
    <row r="6" customFormat="false" ht="15" hidden="false" customHeight="true" outlineLevel="0" collapsed="false">
      <c r="A6" s="12" t="s">
        <v>21</v>
      </c>
      <c r="B6" s="13" t="s">
        <v>22</v>
      </c>
    </row>
    <row r="7" customFormat="false" ht="15" hidden="false" customHeight="true" outlineLevel="0" collapsed="false">
      <c r="A7" s="12" t="s">
        <v>23</v>
      </c>
      <c r="B7" s="13" t="s">
        <v>24</v>
      </c>
    </row>
    <row r="9" customFormat="false" ht="15" hidden="false" customHeight="true" outlineLevel="0" collapsed="false">
      <c r="A9" s="11" t="s">
        <v>25</v>
      </c>
    </row>
    <row r="10" customFormat="false" ht="15" hidden="false" customHeight="true" outlineLevel="0" collapsed="false">
      <c r="A10" s="12" t="s">
        <v>26</v>
      </c>
      <c r="B10" s="14" t="n">
        <v>1850000</v>
      </c>
    </row>
    <row r="11" customFormat="false" ht="15" hidden="false" customHeight="true" outlineLevel="0" collapsed="false">
      <c r="A11" s="12" t="s">
        <v>27</v>
      </c>
      <c r="B11" s="14" t="n">
        <v>1750000</v>
      </c>
      <c r="D11" s="15" t="s">
        <v>28</v>
      </c>
    </row>
    <row r="12" customFormat="false" ht="15" hidden="false" customHeight="true" outlineLevel="0" collapsed="false">
      <c r="A12" s="12" t="s">
        <v>29</v>
      </c>
      <c r="B12" s="14" t="n">
        <v>75000</v>
      </c>
      <c r="D12" s="15" t="s">
        <v>30</v>
      </c>
    </row>
    <row r="13" customFormat="false" ht="15" hidden="false" customHeight="true" outlineLevel="0" collapsed="false">
      <c r="A13" s="12" t="s">
        <v>31</v>
      </c>
      <c r="B13" s="14" t="n">
        <v>40000</v>
      </c>
    </row>
    <row r="14" customFormat="false" ht="15" hidden="false" customHeight="true" outlineLevel="0" collapsed="false">
      <c r="A14" s="12" t="s">
        <v>32</v>
      </c>
      <c r="B14" s="16" t="n">
        <v>0.03</v>
      </c>
      <c r="D14" s="15" t="s">
        <v>33</v>
      </c>
    </row>
    <row r="16" customFormat="false" ht="15" hidden="false" customHeight="true" outlineLevel="0" collapsed="false">
      <c r="A16" s="11" t="s">
        <v>34</v>
      </c>
    </row>
    <row r="17" customFormat="false" ht="15" hidden="false" customHeight="true" outlineLevel="0" collapsed="false">
      <c r="A17" s="12" t="s">
        <v>35</v>
      </c>
      <c r="B17" s="16" t="n">
        <v>0.1</v>
      </c>
    </row>
    <row r="18" customFormat="false" ht="15" hidden="false" customHeight="true" outlineLevel="0" collapsed="false">
      <c r="A18" s="12" t="s">
        <v>36</v>
      </c>
      <c r="B18" s="16" t="n">
        <v>0.1</v>
      </c>
      <c r="D18" s="15" t="s">
        <v>37</v>
      </c>
    </row>
    <row r="19" customFormat="false" ht="15" hidden="false" customHeight="true" outlineLevel="0" collapsed="false">
      <c r="A19" s="12" t="s">
        <v>38</v>
      </c>
      <c r="B19" s="16" t="n">
        <v>0.1</v>
      </c>
    </row>
    <row r="20" customFormat="false" ht="15" hidden="false" customHeight="true" outlineLevel="0" collapsed="false">
      <c r="A20" s="12" t="s">
        <v>39</v>
      </c>
      <c r="B20" s="16" t="n">
        <v>0.06</v>
      </c>
    </row>
    <row r="21" customFormat="false" ht="15" hidden="false" customHeight="true" outlineLevel="0" collapsed="false">
      <c r="A21" s="12" t="s">
        <v>40</v>
      </c>
      <c r="B21" s="17" t="n">
        <v>5</v>
      </c>
    </row>
    <row r="22" customFormat="false" ht="15" hidden="false" customHeight="true" outlineLevel="0" collapsed="false">
      <c r="A22" s="12" t="s">
        <v>41</v>
      </c>
      <c r="B22" s="17" t="n">
        <v>2</v>
      </c>
      <c r="D22" s="15" t="s">
        <v>42</v>
      </c>
    </row>
    <row r="23" customFormat="false" ht="15" hidden="false" customHeight="true" outlineLevel="0" collapsed="false">
      <c r="A23" s="12" t="s">
        <v>43</v>
      </c>
      <c r="B23" s="16" t="n">
        <v>0.105</v>
      </c>
      <c r="D23" s="15" t="s">
        <v>44</v>
      </c>
    </row>
    <row r="24" customFormat="false" ht="15" hidden="false" customHeight="true" outlineLevel="0" collapsed="false">
      <c r="A24" s="12" t="s">
        <v>45</v>
      </c>
      <c r="B24" s="17" t="n">
        <v>10</v>
      </c>
    </row>
    <row r="25" customFormat="false" ht="15" hidden="false" customHeight="true" outlineLevel="0" collapsed="false">
      <c r="A25" s="12" t="s">
        <v>46</v>
      </c>
      <c r="B25" s="18" t="n">
        <v>1.25</v>
      </c>
      <c r="D25" s="15" t="s">
        <v>47</v>
      </c>
    </row>
    <row r="27" customFormat="false" ht="15" hidden="false" customHeight="true" outlineLevel="0" collapsed="false">
      <c r="A27" s="11" t="s">
        <v>48</v>
      </c>
    </row>
    <row r="28" customFormat="false" ht="15" hidden="false" customHeight="true" outlineLevel="0" collapsed="false">
      <c r="A28" s="12" t="s">
        <v>49</v>
      </c>
      <c r="B28" s="14" t="n">
        <v>110000</v>
      </c>
      <c r="D28" s="15" t="s">
        <v>50</v>
      </c>
    </row>
    <row r="29" customFormat="false" ht="15" hidden="false" customHeight="true" outlineLevel="0" collapsed="false">
      <c r="A29" s="12" t="s">
        <v>51</v>
      </c>
      <c r="B29" s="14" t="n">
        <v>30000</v>
      </c>
    </row>
    <row r="30" customFormat="false" ht="15" hidden="false" customHeight="true" outlineLevel="0" collapsed="false">
      <c r="A30" s="12" t="s">
        <v>52</v>
      </c>
      <c r="B30" s="16" t="n">
        <v>0.03</v>
      </c>
    </row>
    <row r="31" customFormat="false" ht="15" hidden="false" customHeight="true" outlineLevel="0" collapsed="false">
      <c r="A31" s="12" t="s">
        <v>53</v>
      </c>
      <c r="B31" s="16" t="n">
        <v>0</v>
      </c>
      <c r="D31" s="15" t="s">
        <v>54</v>
      </c>
    </row>
    <row r="32" customFormat="false" ht="15" hidden="false" customHeight="true" outlineLevel="0" collapsed="false">
      <c r="A32" s="12" t="s">
        <v>55</v>
      </c>
      <c r="B32" s="18" t="n">
        <v>2.75</v>
      </c>
    </row>
    <row r="33" customFormat="false" ht="15" hidden="false" customHeight="true" outlineLevel="0" collapsed="false">
      <c r="A33" s="12" t="s">
        <v>56</v>
      </c>
      <c r="B33" s="16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4" min="3" style="1" width="15"/>
    <col collapsed="false" customWidth="true" hidden="false" outlineLevel="0" max="5" min="5" style="1" width="4"/>
    <col collapsed="false" customWidth="true" hidden="false" outlineLevel="0" max="6" min="6" style="1" width="56"/>
  </cols>
  <sheetData>
    <row r="1" customFormat="false" ht="30" hidden="false" customHeight="true" outlineLevel="0" collapsed="false">
      <c r="A1" s="9" t="s">
        <v>57</v>
      </c>
    </row>
    <row r="2" customFormat="false" ht="15" hidden="false" customHeight="true" outlineLevel="0" collapsed="false">
      <c r="A2" s="10" t="s">
        <v>58</v>
      </c>
    </row>
    <row r="4" customFormat="false" ht="30" hidden="false" customHeight="true" outlineLevel="0" collapsed="false">
      <c r="A4" s="19"/>
      <c r="B4" s="19" t="s">
        <v>59</v>
      </c>
      <c r="C4" s="19" t="s">
        <v>60</v>
      </c>
      <c r="D4" s="19" t="s">
        <v>61</v>
      </c>
    </row>
    <row r="5" customFormat="false" ht="15" hidden="false" customHeight="true" outlineLevel="0" collapsed="false">
      <c r="A5" s="20" t="s">
        <v>62</v>
      </c>
      <c r="B5" s="21" t="s">
        <v>63</v>
      </c>
      <c r="C5" s="21" t="s">
        <v>64</v>
      </c>
      <c r="D5" s="21" t="s">
        <v>65</v>
      </c>
    </row>
    <row r="6" customFormat="false" ht="15" hidden="false" customHeight="true" outlineLevel="0" collapsed="false">
      <c r="A6" s="12" t="s">
        <v>66</v>
      </c>
      <c r="B6" s="14" t="n">
        <v>1520000</v>
      </c>
      <c r="C6" s="14" t="n">
        <v>1640000</v>
      </c>
      <c r="D6" s="14" t="n">
        <v>1780000</v>
      </c>
    </row>
    <row r="7" customFormat="false" ht="15" hidden="false" customHeight="true" outlineLevel="0" collapsed="false">
      <c r="A7" s="12" t="s">
        <v>67</v>
      </c>
      <c r="B7" s="14" t="n">
        <v>640000</v>
      </c>
      <c r="C7" s="14" t="n">
        <v>680000</v>
      </c>
      <c r="D7" s="14" t="n">
        <v>735000</v>
      </c>
    </row>
    <row r="8" customFormat="false" ht="15" hidden="false" customHeight="true" outlineLevel="0" collapsed="false">
      <c r="A8" s="20" t="s">
        <v>68</v>
      </c>
      <c r="B8" s="22" t="n">
        <f aca="false">B6-B7</f>
        <v>880000</v>
      </c>
      <c r="C8" s="22" t="n">
        <f aca="false">C6-C7</f>
        <v>960000</v>
      </c>
      <c r="D8" s="22" t="n">
        <f aca="false">D6-D7</f>
        <v>1045000</v>
      </c>
    </row>
    <row r="9" customFormat="false" ht="15" hidden="false" customHeight="true" outlineLevel="0" collapsed="false">
      <c r="A9" s="12" t="s">
        <v>69</v>
      </c>
      <c r="B9" s="23" t="n">
        <f aca="false">IF(B6=0,0,B8/B6)</f>
        <v>0.578947368421053</v>
      </c>
      <c r="C9" s="23" t="n">
        <f aca="false">IF(C6=0,0,C8/C6)</f>
        <v>0.585365853658537</v>
      </c>
      <c r="D9" s="23" t="n">
        <f aca="false">IF(D6=0,0,D8/D6)</f>
        <v>0.587078651685393</v>
      </c>
    </row>
    <row r="10" customFormat="false" ht="15" hidden="false" customHeight="true" outlineLevel="0" collapsed="false">
      <c r="A10" s="12" t="s">
        <v>70</v>
      </c>
      <c r="B10" s="14" t="n">
        <v>585000</v>
      </c>
      <c r="C10" s="14" t="n">
        <v>625000</v>
      </c>
      <c r="D10" s="14" t="n">
        <v>671000</v>
      </c>
    </row>
    <row r="11" customFormat="false" ht="15" hidden="false" customHeight="true" outlineLevel="0" collapsed="false">
      <c r="A11" s="20" t="s">
        <v>71</v>
      </c>
      <c r="B11" s="22" t="n">
        <f aca="false">B8-B10</f>
        <v>295000</v>
      </c>
      <c r="C11" s="22" t="n">
        <f aca="false">C8-C10</f>
        <v>335000</v>
      </c>
      <c r="D11" s="22" t="n">
        <f aca="false">D8-D10</f>
        <v>374000</v>
      </c>
    </row>
    <row r="13" customFormat="false" ht="15" hidden="false" customHeight="true" outlineLevel="0" collapsed="false">
      <c r="A13" s="11" t="s">
        <v>72</v>
      </c>
    </row>
    <row r="14" customFormat="false" ht="15" hidden="false" customHeight="true" outlineLevel="0" collapsed="false">
      <c r="A14" s="24" t="s">
        <v>73</v>
      </c>
      <c r="B14" s="14" t="n">
        <v>88000</v>
      </c>
      <c r="C14" s="14" t="n">
        <v>92000</v>
      </c>
      <c r="D14" s="14" t="n">
        <v>96000</v>
      </c>
      <c r="F14" s="15" t="s">
        <v>74</v>
      </c>
    </row>
    <row r="15" customFormat="false" ht="15" hidden="false" customHeight="true" outlineLevel="0" collapsed="false">
      <c r="A15" s="24" t="s">
        <v>75</v>
      </c>
      <c r="B15" s="14" t="n">
        <v>9000</v>
      </c>
      <c r="C15" s="14" t="n">
        <v>9500</v>
      </c>
      <c r="D15" s="14" t="n">
        <v>10000</v>
      </c>
    </row>
    <row r="16" customFormat="false" ht="15" hidden="false" customHeight="true" outlineLevel="0" collapsed="false">
      <c r="A16" s="24" t="s">
        <v>76</v>
      </c>
      <c r="B16" s="14" t="n">
        <v>12000</v>
      </c>
      <c r="C16" s="14" t="n">
        <v>12500</v>
      </c>
      <c r="D16" s="14" t="n">
        <v>13000</v>
      </c>
    </row>
    <row r="17" customFormat="false" ht="15" hidden="false" customHeight="true" outlineLevel="0" collapsed="false">
      <c r="A17" s="24" t="s">
        <v>77</v>
      </c>
      <c r="B17" s="14" t="n">
        <v>11000</v>
      </c>
      <c r="C17" s="14" t="n">
        <v>9500</v>
      </c>
      <c r="D17" s="14" t="n">
        <v>8000</v>
      </c>
      <c r="F17" s="15" t="s">
        <v>78</v>
      </c>
    </row>
    <row r="18" customFormat="false" ht="15" hidden="false" customHeight="true" outlineLevel="0" collapsed="false">
      <c r="A18" s="24" t="s">
        <v>79</v>
      </c>
      <c r="B18" s="14" t="n">
        <v>24000</v>
      </c>
      <c r="C18" s="14" t="n">
        <v>22000</v>
      </c>
      <c r="D18" s="14" t="n">
        <v>26000</v>
      </c>
      <c r="F18" s="15" t="s">
        <v>80</v>
      </c>
    </row>
    <row r="19" customFormat="false" ht="15" hidden="false" customHeight="true" outlineLevel="0" collapsed="false">
      <c r="A19" s="24" t="s">
        <v>81</v>
      </c>
      <c r="B19" s="14" t="n">
        <v>0</v>
      </c>
      <c r="C19" s="14" t="n">
        <v>18000</v>
      </c>
      <c r="D19" s="14" t="n">
        <v>0</v>
      </c>
      <c r="F19" s="15" t="s">
        <v>82</v>
      </c>
    </row>
    <row r="20" customFormat="false" ht="15" hidden="false" customHeight="true" outlineLevel="0" collapsed="false">
      <c r="A20" s="24" t="s">
        <v>83</v>
      </c>
      <c r="B20" s="14" t="n">
        <v>7000</v>
      </c>
      <c r="C20" s="14" t="n">
        <v>7500</v>
      </c>
      <c r="D20" s="14" t="n">
        <v>8000</v>
      </c>
      <c r="F20" s="15" t="s">
        <v>84</v>
      </c>
    </row>
    <row r="21" customFormat="false" ht="15" hidden="false" customHeight="true" outlineLevel="0" collapsed="false">
      <c r="A21" s="24" t="s">
        <v>85</v>
      </c>
      <c r="B21" s="14" t="n">
        <v>0</v>
      </c>
      <c r="C21" s="14" t="n">
        <v>0</v>
      </c>
      <c r="D21" s="14" t="n">
        <v>0</v>
      </c>
    </row>
    <row r="22" customFormat="false" ht="15" hidden="false" customHeight="true" outlineLevel="0" collapsed="false">
      <c r="A22" s="24" t="s">
        <v>85</v>
      </c>
      <c r="B22" s="14" t="n">
        <v>0</v>
      </c>
      <c r="C22" s="14" t="n">
        <v>0</v>
      </c>
      <c r="D22" s="14" t="n">
        <v>0</v>
      </c>
    </row>
    <row r="24" customFormat="false" ht="15" hidden="false" customHeight="true" outlineLevel="0" collapsed="false">
      <c r="A24" s="11" t="s">
        <v>86</v>
      </c>
    </row>
    <row r="25" customFormat="false" ht="15" hidden="false" customHeight="true" outlineLevel="0" collapsed="false">
      <c r="A25" s="24" t="s">
        <v>87</v>
      </c>
      <c r="B25" s="14" t="n">
        <v>0</v>
      </c>
      <c r="C25" s="14" t="n">
        <v>0</v>
      </c>
      <c r="D25" s="14" t="n">
        <v>0</v>
      </c>
      <c r="F25" s="15" t="s">
        <v>88</v>
      </c>
    </row>
    <row r="26" customFormat="false" ht="15" hidden="false" customHeight="true" outlineLevel="0" collapsed="false">
      <c r="A26" s="24" t="s">
        <v>89</v>
      </c>
      <c r="B26" s="14" t="n">
        <v>0</v>
      </c>
      <c r="C26" s="14" t="n">
        <v>0</v>
      </c>
      <c r="D26" s="14" t="n">
        <v>0</v>
      </c>
    </row>
    <row r="28" customFormat="false" ht="15" hidden="false" customHeight="true" outlineLevel="0" collapsed="false">
      <c r="A28" s="20" t="s">
        <v>90</v>
      </c>
      <c r="B28" s="25" t="n">
        <f aca="false">B11+SUM(B14:B22)-SUM(B25:B26)</f>
        <v>446000</v>
      </c>
      <c r="C28" s="25" t="n">
        <f aca="false">C11+SUM(C14:C22)-SUM(C25:C26)</f>
        <v>506000</v>
      </c>
      <c r="D28" s="25" t="n">
        <f aca="false">D11+SUM(D14:D22)-SUM(D25:D26)</f>
        <v>535000</v>
      </c>
    </row>
    <row r="29" customFormat="false" ht="15" hidden="false" customHeight="true" outlineLevel="0" collapsed="false">
      <c r="A29" s="12" t="s">
        <v>91</v>
      </c>
      <c r="B29" s="23" t="n">
        <f aca="false">IF(B6=0,0,B28/B6)</f>
        <v>0.293421052631579</v>
      </c>
      <c r="C29" s="23" t="n">
        <f aca="false">IF(C6=0,0,C28/C6)</f>
        <v>0.308536585365854</v>
      </c>
      <c r="D29" s="23" t="n">
        <f aca="false">IF(D6=0,0,D28/D6)</f>
        <v>0.300561797752809</v>
      </c>
    </row>
    <row r="30" customFormat="false" ht="15" hidden="false" customHeight="true" outlineLevel="0" collapsed="false">
      <c r="A30" s="12" t="s">
        <v>92</v>
      </c>
      <c r="B30" s="26" t="n">
        <f aca="false">B28-'Deal Inputs'!$B$28</f>
        <v>336000</v>
      </c>
      <c r="C30" s="26" t="n">
        <f aca="false">C28-'Deal Inputs'!$B$28</f>
        <v>396000</v>
      </c>
      <c r="D30" s="26" t="n">
        <f aca="false">D28-'Deal Inputs'!$B$28</f>
        <v>425000</v>
      </c>
    </row>
    <row r="32" customFormat="false" ht="15" hidden="false" customHeight="true" outlineLevel="0" collapsed="false">
      <c r="A32" s="11" t="s">
        <v>93</v>
      </c>
    </row>
    <row r="33" customFormat="false" ht="15" hidden="false" customHeight="true" outlineLevel="0" collapsed="false">
      <c r="A33" s="12" t="s">
        <v>94</v>
      </c>
      <c r="B33" s="26" t="n">
        <f aca="false">(B28*1+C28*2+D28*3)/6</f>
        <v>510500</v>
      </c>
      <c r="F33" s="15" t="s">
        <v>95</v>
      </c>
    </row>
    <row r="34" customFormat="false" ht="15" hidden="false" customHeight="true" outlineLevel="0" collapsed="false">
      <c r="A34" s="12" t="s">
        <v>96</v>
      </c>
      <c r="B34" s="26" t="n">
        <f aca="false">AVERAGE(B28:D28)</f>
        <v>495666.666666667</v>
      </c>
    </row>
    <row r="35" customFormat="false" ht="15" hidden="false" customHeight="true" outlineLevel="0" collapsed="false">
      <c r="A35" s="12" t="s">
        <v>97</v>
      </c>
      <c r="B35" s="26" t="n">
        <f aca="false">D28</f>
        <v>535000</v>
      </c>
    </row>
    <row r="36" customFormat="false" ht="15" hidden="false" customHeight="true" outlineLevel="0" collapsed="false">
      <c r="A36" s="20" t="s">
        <v>98</v>
      </c>
      <c r="B36" s="13" t="s">
        <v>99</v>
      </c>
      <c r="F36" s="15" t="s">
        <v>100</v>
      </c>
    </row>
    <row r="37" customFormat="false" ht="15" hidden="false" customHeight="true" outlineLevel="0" collapsed="false">
      <c r="A37" s="20" t="s">
        <v>101</v>
      </c>
      <c r="B37" s="25" t="n">
        <f aca="false">CHOOSE(MATCH(B36,{"Weighted average","Simple 3-year average","Latest year"},0),B33,B34,B35)</f>
        <v>510500</v>
      </c>
    </row>
    <row r="38" customFormat="false" ht="15" hidden="false" customHeight="true" outlineLevel="0" collapsed="false">
      <c r="A38" s="12" t="s">
        <v>102</v>
      </c>
      <c r="B38" s="23" t="n">
        <f aca="false">IF(D6=0,0,B37/D6)</f>
        <v>0.286797752808989</v>
      </c>
    </row>
    <row r="39" customFormat="false" ht="15" hidden="false" customHeight="true" outlineLevel="0" collapsed="false">
      <c r="A39" s="12" t="s">
        <v>103</v>
      </c>
      <c r="B39" s="23" t="n">
        <f aca="false">IF(B6&lt;=0,0,(D6/B6)^(1/2)-1)</f>
        <v>0.0821518523658995</v>
      </c>
    </row>
  </sheetData>
  <dataValidations count="1">
    <dataValidation allowBlank="true" errorStyle="stop" operator="between" showDropDown="false" showErrorMessage="false" showInputMessage="false" sqref="B36" type="list">
      <formula1>"Weighted average,Simple 3-year average,Latest year"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3CB"/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4" min="2" style="1" width="16"/>
    <col collapsed="false" customWidth="true" hidden="false" outlineLevel="0" max="5" min="5" style="1" width="4"/>
    <col collapsed="false" customWidth="true" hidden="false" outlineLevel="0" max="6" min="6" style="1" width="58"/>
  </cols>
  <sheetData>
    <row r="1" customFormat="false" ht="30" hidden="false" customHeight="true" outlineLevel="0" collapsed="false">
      <c r="A1" s="9" t="s">
        <v>104</v>
      </c>
    </row>
    <row r="2" customFormat="false" ht="15" hidden="false" customHeight="true" outlineLevel="0" collapsed="false">
      <c r="A2" s="10" t="s">
        <v>105</v>
      </c>
      <c r="F2" s="27" t="s">
        <v>106</v>
      </c>
    </row>
    <row r="4" customFormat="false" ht="15" hidden="false" customHeight="true" outlineLevel="0" collapsed="false">
      <c r="A4" s="11" t="s">
        <v>107</v>
      </c>
    </row>
    <row r="5" customFormat="false" ht="15" hidden="false" customHeight="true" outlineLevel="0" collapsed="false">
      <c r="A5" s="12" t="s">
        <v>108</v>
      </c>
      <c r="B5" s="26" t="n">
        <f aca="false">'SDE Normalization'!$B$37</f>
        <v>510500</v>
      </c>
    </row>
    <row r="6" customFormat="false" ht="15" hidden="false" customHeight="true" outlineLevel="0" collapsed="false">
      <c r="A6" s="12" t="s">
        <v>26</v>
      </c>
      <c r="B6" s="26" t="n">
        <f aca="false">'Deal Inputs'!$B$10</f>
        <v>1850000</v>
      </c>
    </row>
    <row r="7" customFormat="false" ht="15" hidden="false" customHeight="true" outlineLevel="0" collapsed="false">
      <c r="A7" s="12" t="s">
        <v>109</v>
      </c>
      <c r="B7" s="26" t="n">
        <f aca="false">'Deal Inputs'!$B$11</f>
        <v>1750000</v>
      </c>
    </row>
    <row r="8" customFormat="false" ht="15" hidden="false" customHeight="true" outlineLevel="0" collapsed="false">
      <c r="A8" s="12" t="s">
        <v>110</v>
      </c>
      <c r="B8" s="28" t="n">
        <f aca="false">IF(B5=0,0,B6/B5)</f>
        <v>3.62389813907933</v>
      </c>
    </row>
    <row r="9" customFormat="false" ht="15" hidden="false" customHeight="true" outlineLevel="0" collapsed="false">
      <c r="A9" s="12" t="s">
        <v>111</v>
      </c>
      <c r="B9" s="28" t="n">
        <f aca="false">IF(B5=0,0,B7/B5)</f>
        <v>3.42801175318315</v>
      </c>
    </row>
    <row r="10" customFormat="false" ht="15" hidden="false" customHeight="true" outlineLevel="0" collapsed="false">
      <c r="A10" s="12" t="s">
        <v>112</v>
      </c>
      <c r="B10" s="29" t="n">
        <f aca="false">IF('SDE Normalization'!$D$6=0,0,B6/'SDE Normalization'!$D$6)</f>
        <v>1.03932584269663</v>
      </c>
    </row>
    <row r="11" customFormat="false" ht="15" hidden="false" customHeight="true" outlineLevel="0" collapsed="false">
      <c r="A11" s="12" t="s">
        <v>113</v>
      </c>
      <c r="B11" s="29" t="n">
        <f aca="false">IF((B5-'Deal Inputs'!$B$28)&lt;=0,0,B7/(B5-'Deal Inputs'!$B$28))</f>
        <v>4.36953807740325</v>
      </c>
    </row>
    <row r="13" customFormat="false" ht="15" hidden="false" customHeight="true" outlineLevel="0" collapsed="false">
      <c r="A13" s="11" t="s">
        <v>114</v>
      </c>
    </row>
    <row r="14" customFormat="false" ht="30" hidden="false" customHeight="true" outlineLevel="0" collapsed="false">
      <c r="A14" s="19"/>
      <c r="B14" s="19" t="s">
        <v>115</v>
      </c>
      <c r="C14" s="19" t="s">
        <v>116</v>
      </c>
      <c r="D14" s="19" t="s">
        <v>117</v>
      </c>
    </row>
    <row r="15" customFormat="false" ht="15" hidden="false" customHeight="true" outlineLevel="0" collapsed="false">
      <c r="A15" s="12" t="s">
        <v>118</v>
      </c>
      <c r="B15" s="18" t="n">
        <v>2.5</v>
      </c>
      <c r="C15" s="18" t="n">
        <v>3</v>
      </c>
      <c r="D15" s="18" t="n">
        <v>3.5</v>
      </c>
      <c r="F15" s="15" t="s">
        <v>119</v>
      </c>
    </row>
    <row r="16" customFormat="false" ht="15" hidden="false" customHeight="true" outlineLevel="0" collapsed="false">
      <c r="A16" s="20" t="s">
        <v>120</v>
      </c>
      <c r="B16" s="25" t="n">
        <f aca="false">$B$5*B15</f>
        <v>1276250</v>
      </c>
      <c r="C16" s="25" t="n">
        <f aca="false">$B$5*C15</f>
        <v>1531500</v>
      </c>
      <c r="D16" s="25" t="n">
        <f aca="false">$B$5*D15</f>
        <v>1786750</v>
      </c>
    </row>
    <row r="17" customFormat="false" ht="15" hidden="false" customHeight="true" outlineLevel="0" collapsed="false">
      <c r="A17" s="12" t="s">
        <v>121</v>
      </c>
      <c r="B17" s="23" t="n">
        <f aca="false">IF(B16=0,0,$B$7/B16-1)</f>
        <v>0.371204701273262</v>
      </c>
      <c r="C17" s="23" t="n">
        <f aca="false">IF(C16=0,0,$B$7/C16-1)</f>
        <v>0.142670584394385</v>
      </c>
      <c r="D17" s="23" t="n">
        <f aca="false">IF(D16=0,0,$B$7/D16-1)</f>
        <v>-0.0205680705190989</v>
      </c>
    </row>
    <row r="18" customFormat="false" ht="15" hidden="false" customHeight="true" outlineLevel="0" collapsed="false">
      <c r="A18" s="20" t="s">
        <v>122</v>
      </c>
      <c r="B18" s="30" t="str">
        <f aca="false">IF(B7&lt;B16,"✓ Below the low end of the range",IF(B7&lt;=C16,"✓ Between low and mid",IF(B7&lt;=D16,"! Between mid and high","✗ Above the high end of the range")))</f>
        <v>! Between mid and high</v>
      </c>
      <c r="C18" s="30"/>
      <c r="D18" s="30"/>
    </row>
    <row r="20" customFormat="false" ht="15" hidden="false" customHeight="true" outlineLevel="0" collapsed="false">
      <c r="A20" s="11" t="s">
        <v>123</v>
      </c>
    </row>
    <row r="21" customFormat="false" ht="15" hidden="false" customHeight="true" outlineLevel="0" collapsed="false">
      <c r="A21" s="12" t="s">
        <v>124</v>
      </c>
      <c r="B21" s="26" t="n">
        <f aca="false">B5-'Deal Inputs'!$B$28-'Deal Inputs'!$B$29</f>
        <v>370500</v>
      </c>
      <c r="F21" s="15" t="s">
        <v>125</v>
      </c>
    </row>
    <row r="22" customFormat="false" ht="15" hidden="false" customHeight="true" outlineLevel="0" collapsed="false">
      <c r="A22" s="12" t="s">
        <v>46</v>
      </c>
      <c r="B22" s="29" t="n">
        <f aca="false">'Deal Inputs'!$B$25</f>
        <v>1.25</v>
      </c>
    </row>
    <row r="23" customFormat="false" ht="15" hidden="false" customHeight="true" outlineLevel="0" collapsed="false">
      <c r="A23" s="12" t="s">
        <v>126</v>
      </c>
      <c r="B23" s="26" t="n">
        <f aca="false">IF(B22=0,0,B21/B22)</f>
        <v>296400</v>
      </c>
    </row>
    <row r="24" customFormat="false" ht="15" hidden="false" customHeight="true" outlineLevel="0" collapsed="false">
      <c r="A24" s="12" t="s">
        <v>127</v>
      </c>
      <c r="B24" s="26" t="n">
        <f aca="false">PV('Deal Inputs'!$B$23/12,'Deal Inputs'!$B$24*12,-B23/12)</f>
        <v>1830511.03051393</v>
      </c>
    </row>
    <row r="25" customFormat="false" ht="15" hidden="false" customHeight="true" outlineLevel="0" collapsed="false">
      <c r="A25" s="20" t="s">
        <v>128</v>
      </c>
      <c r="B25" s="25" t="n">
        <f aca="false">MAX(0,(B24/(1+'Deal Inputs'!$B$14)-('Deal Inputs'!$B$12+'Deal Inputs'!$B$13)*(1-'Deal Inputs'!$B$17))/(1-'Deal Inputs'!$B$17-'Deal Inputs'!$B$19))</f>
        <v>2092118.96907031</v>
      </c>
      <c r="F25" s="15" t="s">
        <v>129</v>
      </c>
    </row>
    <row r="26" customFormat="false" ht="15" hidden="false" customHeight="true" outlineLevel="0" collapsed="false">
      <c r="A26" s="12" t="s">
        <v>130</v>
      </c>
      <c r="B26" s="30" t="str">
        <f aca="false">IF(B25&lt;=0,"✗ Cash flow cannot support this financing",IF(B7&lt;=B25,"✓ Offer is within what the cash flow supports","✗ Offer is above what the cash flow supports"))</f>
        <v>✓ Offer is within what the cash flow supports</v>
      </c>
      <c r="C26" s="30"/>
      <c r="D26" s="30"/>
      <c r="F26" s="15" t="s">
        <v>131</v>
      </c>
    </row>
  </sheetData>
  <mergeCells count="2">
    <mergeCell ref="B18:D18"/>
    <mergeCell ref="B26:D26"/>
  </mergeCells>
  <conditionalFormatting sqref="B18">
    <cfRule type="expression" priority="2" aboveAverage="0" equalAverage="0" bottom="0" percent="0" rank="0" text="" dxfId="0">
      <formula>LEFT(B18,1)="✓"</formula>
    </cfRule>
    <cfRule type="expression" priority="3" aboveAverage="0" equalAverage="0" bottom="0" percent="0" rank="0" text="" dxfId="1">
      <formula>LEFT(B18,1)="✗"</formula>
    </cfRule>
    <cfRule type="expression" priority="4" aboveAverage="0" equalAverage="0" bottom="0" percent="0" rank="0" text="" dxfId="2">
      <formula>LEFT(B18,1)="!"</formula>
    </cfRule>
  </conditionalFormatting>
  <conditionalFormatting sqref="B26">
    <cfRule type="expression" priority="5" aboveAverage="0" equalAverage="0" bottom="0" percent="0" rank="0" text="" dxfId="0">
      <formula>LEFT(B26,1)="✓"</formula>
    </cfRule>
    <cfRule type="expression" priority="6" aboveAverage="0" equalAverage="0" bottom="0" percent="0" rank="0" text="" dxfId="1">
      <formula>LEFT(B26,1)="✗"</formula>
    </cfRule>
    <cfRule type="expression" priority="7" aboveAverage="0" equalAverage="0" bottom="0" percent="0" rank="0" text="" dxfId="2">
      <formula>LEFT(B26,1)="!"</formula>
    </cfRule>
  </conditionalFormatting>
  <hyperlinks>
    <hyperlink ref="F2" r:id="rId1" display="Free demo · Get the full analyzer on Etsy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2026-10-24T17:09:47Z</dcterms:created>
  <dc:creator>openpyxl</dc:creator>
  <dc:description/>
  <dc:language>en-US</dc:language>
  <cp:lastModifiedBy/>
  <dcterms:modified xsi:type="dcterms:W3CDTF">2026-10-24T17:37:43Z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